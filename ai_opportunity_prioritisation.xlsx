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is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<sst xmlns="http://schemas.openxmlformats.org/spreadsheetml/2006/main" count="32" uniqueCount="26">
  <si>
    <t xml:space="preserve">AI Opportunity Prioritisation</t>
  </si>
  <si>
    <t xml:space="preserve">Weighted scoring model  ·  Private Banking Technology</t>
  </si>
  <si>
    <t xml:space="preserve">Weight</t>
  </si>
  <si>
    <t xml:space="preserve">← weights must total 100%</t>
  </si>
  <si>
    <t xml:space="preserve">Opportunity</t>
  </si>
  <si>
    <t xml:space="preserve">Business value</t>
  </si>
  <si>
    <t xml:space="preserve">Feasibility</t>
  </si>
  <si>
    <t xml:space="preserve">Risk &amp; compliance</t>
  </si>
  <si>
    <t xml:space="preserve">Effort</t>
  </si>
  <si>
    <t xml:space="preserve">Strategic fit</t>
  </si>
  <si>
    <t xml:space="preserve">Weighted score</t>
  </si>
  <si>
    <t xml:space="preserve">Rank</t>
  </si>
  <si>
    <t xml:space="preserve">Risk gate</t>
  </si>
  <si>
    <t xml:space="preserve">RM meeting summariser</t>
  </si>
  <si>
    <t xml:space="preserve">Client email assistant</t>
  </si>
  <si>
    <t xml:space="preserve">KYC doc extraction</t>
  </si>
  <si>
    <t xml:space="preserve">Portfolio commentary</t>
  </si>
  <si>
    <t xml:space="preserve">AML triage assist</t>
  </si>
  <si>
    <t xml:space="preserve">Weighted contribution by criterion  (chart source — auto-calculated, do not edit)</t>
  </si>
  <si>
    <t xml:space="preserve">How to use</t>
  </si>
  <si>
    <t xml:space="preserve">•  Blue cells are inputs. Edit the weights in row 4 and the 1–5 scores for each opportunity.</t>
  </si>
  <si>
    <t xml:space="preserve">•  Weights must total 100% — the check cell (G4) turns red if they do not.</t>
  </si>
  <si>
    <t xml:space="preserve">•  Score 1 (poor) to 5 (excellent). For Risk &amp; compliance and Effort, 5 = low risk / low effort.</t>
  </si>
  <si>
    <t xml:space="preserve">•  Weighted score, rank and the chart update automatically as you change any input.</t>
  </si>
  <si>
    <t xml:space="preserve">•  Risk gate flags any opportunity scoring ≤ 2 on Risk &amp; compliance as 'Parked' for mandatory review.</t>
  </si>
  <si>
    <t xml:space="preserve">•  To re-order the chart bars, sort the table (rows 6–13) by Weighted score, largest first.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</si>
</sst>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0"/>
    <numFmt numFmtId="168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3D3D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D3D3A"/>
      <name val="Arial"/>
      <family val="0"/>
      <charset val="1"/>
    </font>
    <font>
      <sz val="10"/>
      <color rgb="FF3D3D3A"/>
      <name val="Arial"/>
      <family val="0"/>
      <charset val="1"/>
    </font>
    <font>
      <b val="true"/>
      <i val="true"/>
      <sz val="9"/>
      <color rgb="FF3D3D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D3D3A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4B7A"/>
      </patternFill>
    </fill>
    <fill>
      <patternFill patternType="solid">
        <fgColor rgb="FFC9A227"/>
        <bgColor rgb="FFEF9F27"/>
      </patternFill>
    </fill>
    <fill>
      <patternFill patternType="solid">
        <fgColor rgb="FFFFF2B2"/>
        <bgColor rgb="FFFFF7DC"/>
      </patternFill>
    </fill>
    <fill>
      <patternFill patternType="solid">
        <fgColor rgb="FF2E4B7A"/>
        <bgColor rgb="FF1F3864"/>
      </patternFill>
    </fill>
    <fill>
      <patternFill patternType="solid">
        <fgColor rgb="FFFFF7DC"/>
        <bgColor rgb="FFFFFFFF"/>
      </patternFill>
    </fill>
    <fill>
      <patternFill patternType="solid">
        <fgColor rgb="FFEEF1F6"/>
        <bgColor rgb="FFFFF7DC"/>
      </patternFill>
    </fill>
    <fill>
      <patternFill patternType="solid">
        <fgColor rgb="FF8A94A6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392B"/>
        <sz val="10"/>
      </font>
      <fill>
        <patternFill>
          <bgColor rgb="FFF9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5"/>
      <rgbColor rgb="FF878787"/>
      <rgbColor rgb="FF9999FF"/>
      <rgbColor rgb="FF993366"/>
      <rgbColor rgb="FFFFF7DC"/>
      <rgbColor rgb="FFEE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9D7D3"/>
      <rgbColor rgb="FF378ADD"/>
      <rgbColor rgb="FF33CCCC"/>
      <rgbColor rgb="FFC9A227"/>
      <rgbColor rgb="FFFFCC00"/>
      <rgbColor rgb="FFEF9F27"/>
      <rgbColor rgb="FFD85A30"/>
      <rgbColor rgb="FF7F77DD"/>
      <rgbColor rgb="FF8A94A6"/>
      <rgbColor rgb="FF1F3864"/>
      <rgbColor rgb="FF1D9E75"/>
      <rgbColor rgb="FF003300"/>
      <rgbColor rgb="FF333300"/>
      <rgbColor rgb="FFC0392B"/>
      <rgbColor rgb="FF993366"/>
      <rgbColor rgb="FF2E4B7A"/>
      <rgbColor rgb="FF3D3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score by opportunity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Prioritisation!B17</c:f>
              <c:strCache>
                <c:ptCount val="1"/>
                <c:pt idx="0">
                  <c:v>Business value</c:v>
                </c:pt>
              </c:strCache>
            </c:strRef>
          </c:tx>
          <c:spPr>
            <a:solidFill>
              <a:srgbClr val="7f77dd"/>
            </a:solidFill>
            <a:ln w="0">
              <a:solidFill>
                <a:srgbClr val="7f77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Prioritisation!$A$18:$A$25</c:f>
              <c:strCache>
                <c:ptCount val="8"/>
                <c:pt idx="0">
                  <c:v>RM meeting summariser</c:v>
                </c:pt>
                <c:pt idx="1">
                  <c:v>Client email assistant</c:v>
                </c:pt>
                <c:pt idx="2">
                  <c:v>KYC doc extraction</c:v>
                </c:pt>
                <c:pt idx="3">
                  <c:v>Portfolio commentary</c:v>
                </c:pt>
                <c:pt idx="4">
                  <c:v>AML triage assist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Prioritisation!$B$18:$B$25</c:f>
              <c:numCache>
                <c:formatCode>0.00</c:formatCode>
                <c:ptCount val="8"/>
                <c:pt idx="0">
                  <c:v>0.9</c:v>
                </c:pt>
                <c:pt idx="1">
                  <c:v>1.2</c:v>
                </c:pt>
                <c:pt idx="2">
                  <c:v>1.2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</c:ser>
        <c:ser>
          <c:idx val="1"/>
          <c:order val="1"/>
          <c:tx>
            <c:strRef>
              <c:f>Prioritisation!C17</c:f>
              <c:strCache>
                <c:ptCount val="1"/>
                <c:pt idx="0">
                  <c:v>Feasibility</c:v>
                </c:pt>
              </c:strCache>
            </c:strRef>
          </c:tx>
          <c:spPr>
            <a:solidFill>
              <a:srgbClr val="1d9e75"/>
            </a:solidFill>
            <a:ln w="0">
              <a:solidFill>
                <a:srgbClr val="1d9e7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Prioritisation!$A$18:$A$25</c:f>
              <c:strCache>
                <c:ptCount val="8"/>
                <c:pt idx="0">
                  <c:v>RM meeting summariser</c:v>
                </c:pt>
                <c:pt idx="1">
                  <c:v>Client email assistant</c:v>
                </c:pt>
                <c:pt idx="2">
                  <c:v>KYC doc extraction</c:v>
                </c:pt>
                <c:pt idx="3">
                  <c:v>Portfolio commentary</c:v>
                </c:pt>
                <c:pt idx="4">
                  <c:v>AML triage assist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Prioritisation!$C$18:$C$25</c:f>
              <c:numCache>
                <c:formatCode>0.00</c:formatCode>
                <c:ptCount val="8"/>
                <c:pt idx="0">
                  <c:v>1</c:v>
                </c:pt>
                <c:pt idx="1">
                  <c:v>0.8</c:v>
                </c:pt>
                <c:pt idx="2">
                  <c:v>0.8</c:v>
                </c:pt>
                <c:pt idx="3">
                  <c:v>0.6</c:v>
                </c:pt>
                <c:pt idx="4">
                  <c:v>0.6</c:v>
                </c:pt>
              </c:numCache>
            </c:numRef>
          </c:val>
        </c:ser>
        <c:ser>
          <c:idx val="2"/>
          <c:order val="2"/>
          <c:tx>
            <c:strRef>
              <c:f>Prioritisation!D17</c:f>
              <c:strCache>
                <c:ptCount val="1"/>
                <c:pt idx="0">
                  <c:v>Risk &amp; compliance</c:v>
                </c:pt>
              </c:strCache>
            </c:strRef>
          </c:tx>
          <c:spPr>
            <a:solidFill>
              <a:srgbClr val="ef9f27"/>
            </a:solidFill>
            <a:ln w="0">
              <a:solidFill>
                <a:srgbClr val="ef9f2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Prioritisation!$A$18:$A$25</c:f>
              <c:strCache>
                <c:ptCount val="8"/>
                <c:pt idx="0">
                  <c:v>RM meeting summariser</c:v>
                </c:pt>
                <c:pt idx="1">
                  <c:v>Client email assistant</c:v>
                </c:pt>
                <c:pt idx="2">
                  <c:v>KYC doc extraction</c:v>
                </c:pt>
                <c:pt idx="3">
                  <c:v>Portfolio commentary</c:v>
                </c:pt>
                <c:pt idx="4">
                  <c:v>AML triage assist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Prioritisation!$D$18:$D$25</c:f>
              <c:numCache>
                <c:formatCode>0.00</c:formatCode>
                <c:ptCount val="8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</c:ser>
        <c:ser>
          <c:idx val="3"/>
          <c:order val="3"/>
          <c:tx>
            <c:strRef>
              <c:f>Prioritisation!E17</c:f>
              <c:strCache>
                <c:ptCount val="1"/>
                <c:pt idx="0">
                  <c:v>Effort</c:v>
                </c:pt>
              </c:strCache>
            </c:strRef>
          </c:tx>
          <c:spPr>
            <a:solidFill>
              <a:srgbClr val="378add"/>
            </a:solidFill>
            <a:ln w="0">
              <a:solidFill>
                <a:srgbClr val="378ad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Prioritisation!$A$18:$A$25</c:f>
              <c:strCache>
                <c:ptCount val="8"/>
                <c:pt idx="0">
                  <c:v>RM meeting summariser</c:v>
                </c:pt>
                <c:pt idx="1">
                  <c:v>Client email assistant</c:v>
                </c:pt>
                <c:pt idx="2">
                  <c:v>KYC doc extraction</c:v>
                </c:pt>
                <c:pt idx="3">
                  <c:v>Portfolio commentary</c:v>
                </c:pt>
                <c:pt idx="4">
                  <c:v>AML triage assist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Prioritisation!$E$18:$E$25</c:f>
              <c:numCache>
                <c:formatCode>0.00</c:formatCode>
                <c:ptCount val="8"/>
                <c:pt idx="0">
                  <c:v>0.75</c:v>
                </c:pt>
                <c:pt idx="1">
                  <c:v>0.6</c:v>
                </c:pt>
                <c:pt idx="2">
                  <c:v>0.45</c:v>
                </c:pt>
                <c:pt idx="3">
                  <c:v>0.3</c:v>
                </c:pt>
                <c:pt idx="4">
                  <c:v>0.3</c:v>
                </c:pt>
              </c:numCache>
            </c:numRef>
          </c:val>
        </c:ser>
        <c:ser>
          <c:idx val="4"/>
          <c:order val="4"/>
          <c:tx>
            <c:strRef>
              <c:f>Prioritisation!F17</c:f>
              <c:strCache>
                <c:ptCount val="1"/>
                <c:pt idx="0">
                  <c:v>Strategic fit</c:v>
                </c:pt>
              </c:strCache>
            </c:strRef>
          </c:tx>
          <c:spPr>
            <a:solidFill>
              <a:srgbClr val="d85a30"/>
            </a:solidFill>
            <a:ln w="0">
              <a:solidFill>
                <a:srgbClr val="d85a3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Prioritisation!$A$18:$A$25</c:f>
              <c:strCache>
                <c:ptCount val="8"/>
                <c:pt idx="0">
                  <c:v>RM meeting summariser</c:v>
                </c:pt>
                <c:pt idx="1">
                  <c:v>Client email assistant</c:v>
                </c:pt>
                <c:pt idx="2">
                  <c:v>KYC doc extraction</c:v>
                </c:pt>
                <c:pt idx="3">
                  <c:v>Portfolio commentary</c:v>
                </c:pt>
                <c:pt idx="4">
                  <c:v>AML triage assist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Prioritisation!$F$18:$F$25</c:f>
              <c:numCache>
                <c:formatCode>0.00</c:formatCode>
                <c:ptCount val="8"/>
                <c:pt idx="0">
                  <c:v>0.4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0.4</c:v>
                </c:pt>
              </c:numCache>
            </c:numRef>
          </c:val>
        </c:ser>
        <c:gapWidth val="60"/>
        <c:overlap val="100"/>
        <c:axId val="95999322"/>
        <c:axId val="27737238"/>
      </c:barChart>
      <c:catAx>
        <c:axId val="9599932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Weighted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37238"/>
        <c:crosses val="autoZero"/>
        <c:auto val="1"/>
        <c:lblAlgn val="ctr"/>
        <c:lblOffset val="100"/>
        <c:noMultiLvlLbl val="0"/>
      </c:catAx>
      <c:valAx>
        <c:axId val="2773723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993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21</xdr:col>
      <xdr:colOff>473040</xdr:colOff>
      <xdr:row>17</xdr:row>
      <xdr:rowOff>47880</xdr:rowOff>
    </xdr:to>
    <xdr:graphicFrame>
      <xdr:nvGraphicFramePr>
        <xdr:cNvPr id="0" name="Chart 1"/>
        <xdr:cNvGraphicFramePr/>
      </xdr:nvGraphicFramePr>
      <xdr:xfrm>
        <a:off x="9140040" y="64764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A4" s="4" t="s">
        <v>2</v>
      </c>
      <c r="B4" s="5" t="n">
        <v>0.3</v>
      </c>
      <c r="C4" s="5" t="n">
        <v>0.2</v>
      </c>
      <c r="D4" s="5" t="n">
        <v>0.25</v>
      </c>
      <c r="E4" s="5" t="n">
        <v>0.15</v>
      </c>
      <c r="F4" s="5" t="n">
        <v>0.1</v>
      </c>
      <c r="G4" s="6" t="n">
        <f aca="false">SUM(B4:F4)</f>
        <v>1</v>
      </c>
      <c r="H4" s="7" t="s">
        <v>3</v>
      </c>
      <c r="I4" s="7"/>
    </row>
    <row r="5" customFormat="false" ht="31.5" hidden="false" customHeight="true" outlineLevel="0" collapsed="false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</row>
    <row r="6" customFormat="false" ht="18" hidden="false" customHeight="true" outlineLevel="0" collapsed="false">
      <c r="A6" s="9" t="s">
        <v>13</v>
      </c>
      <c r="B6" s="10" t="n">
        <v>3</v>
      </c>
      <c r="C6" s="10" t="n">
        <v>5</v>
      </c>
      <c r="D6" s="10" t="n">
        <v>4</v>
      </c>
      <c r="E6" s="10" t="n">
        <v>5</v>
      </c>
      <c r="F6" s="10" t="n">
        <v>4</v>
      </c>
      <c r="G6" s="11" t="n">
        <f aca="false">IF(COUNT(B6:F6)=5,B6*B$4+C6*C$4+D6*D$4+E6*E$4+F6*F$4,"")</f>
        <v>4.05</v>
      </c>
      <c r="H6" s="12" t="n">
        <f aca="false">IF(G6="","",RANK(G6,$G$6:$G$13))</f>
        <v>1</v>
      </c>
      <c r="I6" s="13" t="str">
        <f aca="false">IF($A6="","",IF(D6&lt;=2,"Parked","OK"))</f>
        <v>OK</v>
      </c>
    </row>
    <row r="7" customFormat="false" ht="18" hidden="false" customHeight="true" outlineLevel="0" collapsed="false">
      <c r="A7" s="9" t="s">
        <v>14</v>
      </c>
      <c r="B7" s="10" t="n">
        <v>4</v>
      </c>
      <c r="C7" s="10" t="n">
        <v>4</v>
      </c>
      <c r="D7" s="10" t="n">
        <v>3</v>
      </c>
      <c r="E7" s="10" t="n">
        <v>4</v>
      </c>
      <c r="F7" s="10" t="n">
        <v>3</v>
      </c>
      <c r="G7" s="14" t="n">
        <f aca="false">IF(COUNT(B7:F7)=5,B7*B$4+C7*C$4+D7*D$4+E7*E$4+F7*F$4,"")</f>
        <v>3.65</v>
      </c>
      <c r="H7" s="15" t="n">
        <f aca="false">IF(G7="","",RANK(G7,$G$6:$G$13))</f>
        <v>2</v>
      </c>
      <c r="I7" s="16" t="str">
        <f aca="false">IF($A7="","",IF(D7&lt;=2,"Parked","OK"))</f>
        <v>OK</v>
      </c>
    </row>
    <row r="8" customFormat="false" ht="18" hidden="false" customHeight="true" outlineLevel="0" collapsed="false">
      <c r="A8" s="9" t="s">
        <v>15</v>
      </c>
      <c r="B8" s="10" t="n">
        <v>4</v>
      </c>
      <c r="C8" s="10" t="n">
        <v>4</v>
      </c>
      <c r="D8" s="10" t="n">
        <v>3</v>
      </c>
      <c r="E8" s="10" t="n">
        <v>3</v>
      </c>
      <c r="F8" s="10" t="n">
        <v>4</v>
      </c>
      <c r="G8" s="11" t="n">
        <f aca="false">IF(COUNT(B8:F8)=5,B8*B$4+C8*C$4+D8*D$4+E8*E$4+F8*F$4,"")</f>
        <v>3.6</v>
      </c>
      <c r="H8" s="12" t="n">
        <f aca="false">IF(G8="","",RANK(G8,$G$6:$G$13))</f>
        <v>3</v>
      </c>
      <c r="I8" s="13" t="str">
        <f aca="false">IF($A8="","",IF(D8&lt;=2,"Parked","OK"))</f>
        <v>OK</v>
      </c>
    </row>
    <row r="9" customFormat="false" ht="18" hidden="false" customHeight="true" outlineLevel="0" collapsed="false">
      <c r="A9" s="9" t="s">
        <v>16</v>
      </c>
      <c r="B9" s="10" t="n">
        <v>5</v>
      </c>
      <c r="C9" s="10" t="n">
        <v>3</v>
      </c>
      <c r="D9" s="10" t="n">
        <v>2</v>
      </c>
      <c r="E9" s="10" t="n">
        <v>2</v>
      </c>
      <c r="F9" s="10" t="n">
        <v>5</v>
      </c>
      <c r="G9" s="14" t="n">
        <f aca="false">IF(COUNT(B9:F9)=5,B9*B$4+C9*C$4+D9*D$4+E9*E$4+F9*F$4,"")</f>
        <v>3.4</v>
      </c>
      <c r="H9" s="15" t="n">
        <f aca="false">IF(G9="","",RANK(G9,$G$6:$G$13))</f>
        <v>4</v>
      </c>
      <c r="I9" s="16" t="str">
        <f aca="false">IF($A9="","",IF(D9&lt;=2,"Parked","OK"))</f>
        <v>Parked</v>
      </c>
    </row>
    <row r="10" customFormat="false" ht="18" hidden="false" customHeight="true" outlineLevel="0" collapsed="false">
      <c r="A10" s="9" t="s">
        <v>17</v>
      </c>
      <c r="B10" s="10" t="n">
        <v>5</v>
      </c>
      <c r="C10" s="10" t="n">
        <v>3</v>
      </c>
      <c r="D10" s="10" t="n">
        <v>2</v>
      </c>
      <c r="E10" s="10" t="n">
        <v>2</v>
      </c>
      <c r="F10" s="10" t="n">
        <v>4</v>
      </c>
      <c r="G10" s="11" t="n">
        <f aca="false">IF(COUNT(B10:F10)=5,B10*B$4+C10*C$4+D10*D$4+E10*E$4+F10*F$4,"")</f>
        <v>3.3</v>
      </c>
      <c r="H10" s="12" t="n">
        <f aca="false">IF(G10="","",RANK(G10,$G$6:$G$13))</f>
        <v>5</v>
      </c>
      <c r="I10" s="13" t="str">
        <f aca="false">IF($A10="","",IF(D10&lt;=2,"Parked","OK"))</f>
        <v>Parked</v>
      </c>
    </row>
    <row r="11" customFormat="false" ht="18" hidden="false" customHeight="true" outlineLevel="0" collapsed="false">
      <c r="A11" s="9"/>
      <c r="B11" s="10"/>
      <c r="C11" s="10"/>
      <c r="D11" s="10"/>
      <c r="E11" s="10"/>
      <c r="F11" s="10"/>
      <c r="G11" s="14" t="str">
        <f aca="false">IF(COUNT(B11:F11)=5,B11*B$4+C11*C$4+D11*D$4+E11*E$4+F11*F$4,"")</f>
        <v/>
      </c>
      <c r="H11" s="15" t="str">
        <f aca="false">IF(G11="","",RANK(G11,$G$6:$G$13))</f>
        <v/>
      </c>
      <c r="I11" s="16" t="str">
        <f aca="false">IF($A11="","",IF(D11&lt;=2,"Parked","OK"))</f>
        <v/>
      </c>
    </row>
    <row r="12" customFormat="false" ht="18" hidden="false" customHeight="true" outlineLevel="0" collapsed="false">
      <c r="A12" s="9"/>
      <c r="B12" s="10"/>
      <c r="C12" s="10"/>
      <c r="D12" s="10"/>
      <c r="E12" s="10"/>
      <c r="F12" s="10"/>
      <c r="G12" s="11" t="str">
        <f aca="false">IF(COUNT(B12:F12)=5,B12*B$4+C12*C$4+D12*D$4+E12*E$4+F12*F$4,"")</f>
        <v/>
      </c>
      <c r="H12" s="12" t="str">
        <f aca="false">IF(G12="","",RANK(G12,$G$6:$G$13))</f>
        <v/>
      </c>
      <c r="I12" s="13" t="str">
        <f aca="false">IF($A12="","",IF(D12&lt;=2,"Parked","OK"))</f>
        <v/>
      </c>
    </row>
    <row r="13" customFormat="false" ht="18" hidden="false" customHeight="true" outlineLevel="0" collapsed="false">
      <c r="A13" s="9"/>
      <c r="B13" s="10"/>
      <c r="C13" s="10"/>
      <c r="D13" s="10"/>
      <c r="E13" s="10"/>
      <c r="F13" s="10"/>
      <c r="G13" s="14" t="str">
        <f aca="false">IF(COUNT(B13:F13)=5,B13*B$4+C13*C$4+D13*D$4+E13*E$4+F13*F$4,"")</f>
        <v/>
      </c>
      <c r="H13" s="15" t="str">
        <f aca="false">IF(G13="","",RANK(G13,$G$6:$G$13))</f>
        <v/>
      </c>
      <c r="I13" s="16" t="str">
        <f aca="false">IF($A13="","",IF(D13&lt;=2,"Parked","OK"))</f>
        <v/>
      </c>
    </row>
    <row r="16" customFormat="false" ht="15" hidden="false" customHeight="true" outlineLevel="0" collapsed="false">
      <c r="A16" s="17" t="s">
        <v>18</v>
      </c>
      <c r="B16" s="17"/>
      <c r="C16" s="17"/>
      <c r="D16" s="17"/>
      <c r="E16" s="17"/>
      <c r="F16" s="17"/>
      <c r="G16" s="17"/>
    </row>
    <row r="17" customFormat="false" ht="25.5" hidden="false" customHeight="true" outlineLevel="0" collapsed="false">
      <c r="A17" s="18" t="s">
        <v>4</v>
      </c>
      <c r="B17" s="18" t="s">
        <v>5</v>
      </c>
      <c r="C17" s="18" t="s">
        <v>6</v>
      </c>
      <c r="D17" s="18" t="s">
        <v>7</v>
      </c>
      <c r="E17" s="18" t="s">
        <v>8</v>
      </c>
      <c r="F17" s="18" t="s">
        <v>9</v>
      </c>
    </row>
    <row r="18" customFormat="false" ht="15" hidden="false" customHeight="true" outlineLevel="0" collapsed="false">
      <c r="A18" s="19" t="str">
        <f aca="false">IF($A6="","",A6)</f>
        <v>RM meeting summariser</v>
      </c>
      <c r="B18" s="20" t="n">
        <f aca="false">IF($A6="","",B6*B$4)</f>
        <v>0.9</v>
      </c>
      <c r="C18" s="20" t="n">
        <f aca="false">IF($A6="","",C6*C$4)</f>
        <v>1</v>
      </c>
      <c r="D18" s="20" t="n">
        <f aca="false">IF($A6="","",D6*D$4)</f>
        <v>1</v>
      </c>
      <c r="E18" s="20" t="n">
        <f aca="false">IF($A6="","",E6*E$4)</f>
        <v>0.75</v>
      </c>
      <c r="F18" s="20" t="n">
        <f aca="false">IF($A6="","",F6*F$4)</f>
        <v>0.4</v>
      </c>
    </row>
    <row r="19" customFormat="false" ht="15" hidden="false" customHeight="true" outlineLevel="0" collapsed="false">
      <c r="A19" s="19" t="str">
        <f aca="false">IF($A7="","",A7)</f>
        <v>Client email assistant</v>
      </c>
      <c r="B19" s="20" t="n">
        <f aca="false">IF($A7="","",B7*B$4)</f>
        <v>1.2</v>
      </c>
      <c r="C19" s="20" t="n">
        <f aca="false">IF($A7="","",C7*C$4)</f>
        <v>0.8</v>
      </c>
      <c r="D19" s="20" t="n">
        <f aca="false">IF($A7="","",D7*D$4)</f>
        <v>0.75</v>
      </c>
      <c r="E19" s="20" t="n">
        <f aca="false">IF($A7="","",E7*E$4)</f>
        <v>0.6</v>
      </c>
      <c r="F19" s="20" t="n">
        <f aca="false">IF($A7="","",F7*F$4)</f>
        <v>0.3</v>
      </c>
    </row>
    <row r="20" customFormat="false" ht="15" hidden="false" customHeight="true" outlineLevel="0" collapsed="false">
      <c r="A20" s="19" t="str">
        <f aca="false">IF($A8="","",A8)</f>
        <v>KYC doc extraction</v>
      </c>
      <c r="B20" s="20" t="n">
        <f aca="false">IF($A8="","",B8*B$4)</f>
        <v>1.2</v>
      </c>
      <c r="C20" s="20" t="n">
        <f aca="false">IF($A8="","",C8*C$4)</f>
        <v>0.8</v>
      </c>
      <c r="D20" s="20" t="n">
        <f aca="false">IF($A8="","",D8*D$4)</f>
        <v>0.75</v>
      </c>
      <c r="E20" s="20" t="n">
        <f aca="false">IF($A8="","",E8*E$4)</f>
        <v>0.45</v>
      </c>
      <c r="F20" s="20" t="n">
        <f aca="false">IF($A8="","",F8*F$4)</f>
        <v>0.4</v>
      </c>
    </row>
    <row r="21" customFormat="false" ht="15" hidden="false" customHeight="true" outlineLevel="0" collapsed="false">
      <c r="A21" s="19" t="str">
        <f aca="false">IF($A9="","",A9)</f>
        <v>Portfolio commentary</v>
      </c>
      <c r="B21" s="20" t="n">
        <f aca="false">IF($A9="","",B9*B$4)</f>
        <v>1.5</v>
      </c>
      <c r="C21" s="20" t="n">
        <f aca="false">IF($A9="","",C9*C$4)</f>
        <v>0.6</v>
      </c>
      <c r="D21" s="20" t="n">
        <f aca="false">IF($A9="","",D9*D$4)</f>
        <v>0.5</v>
      </c>
      <c r="E21" s="20" t="n">
        <f aca="false">IF($A9="","",E9*E$4)</f>
        <v>0.3</v>
      </c>
      <c r="F21" s="20" t="n">
        <f aca="false">IF($A9="","",F9*F$4)</f>
        <v>0.5</v>
      </c>
    </row>
    <row r="22" customFormat="false" ht="15" hidden="false" customHeight="true" outlineLevel="0" collapsed="false">
      <c r="A22" s="19" t="str">
        <f aca="false">IF($A10="","",A10)</f>
        <v>AML triage assist</v>
      </c>
      <c r="B22" s="20" t="n">
        <f aca="false">IF($A10="","",B10*B$4)</f>
        <v>1.5</v>
      </c>
      <c r="C22" s="20" t="n">
        <f aca="false">IF($A10="","",C10*C$4)</f>
        <v>0.6</v>
      </c>
      <c r="D22" s="20" t="n">
        <f aca="false">IF($A10="","",D10*D$4)</f>
        <v>0.5</v>
      </c>
      <c r="E22" s="20" t="n">
        <f aca="false">IF($A10="","",E10*E$4)</f>
        <v>0.3</v>
      </c>
      <c r="F22" s="20" t="n">
        <f aca="false">IF($A10="","",F10*F$4)</f>
        <v>0.4</v>
      </c>
    </row>
    <row r="23" customFormat="false" ht="15" hidden="false" customHeight="true" outlineLevel="0" collapsed="false">
      <c r="A23" s="19" t="str">
        <f aca="false">IF($A11="","",A11)</f>
        <v/>
      </c>
      <c r="B23" s="20" t="str">
        <f aca="false">IF($A11="","",B11*B$4)</f>
        <v/>
      </c>
      <c r="C23" s="20" t="str">
        <f aca="false">IF($A11="","",C11*C$4)</f>
        <v/>
      </c>
      <c r="D23" s="20" t="str">
        <f aca="false">IF($A11="","",D11*D$4)</f>
        <v/>
      </c>
      <c r="E23" s="20" t="str">
        <f aca="false">IF($A11="","",E11*E$4)</f>
        <v/>
      </c>
      <c r="F23" s="20" t="str">
        <f aca="false">IF($A11="","",F11*F$4)</f>
        <v/>
      </c>
    </row>
    <row r="24" customFormat="false" ht="15" hidden="false" customHeight="true" outlineLevel="0" collapsed="false">
      <c r="A24" s="19" t="str">
        <f aca="false">IF($A12="","",A12)</f>
        <v/>
      </c>
      <c r="B24" s="20" t="str">
        <f aca="false">IF($A12="","",B12*B$4)</f>
        <v/>
      </c>
      <c r="C24" s="20" t="str">
        <f aca="false">IF($A12="","",C12*C$4)</f>
        <v/>
      </c>
      <c r="D24" s="20" t="str">
        <f aca="false">IF($A12="","",D12*D$4)</f>
        <v/>
      </c>
      <c r="E24" s="20" t="str">
        <f aca="false">IF($A12="","",E12*E$4)</f>
        <v/>
      </c>
      <c r="F24" s="20" t="str">
        <f aca="false">IF($A12="","",F12*F$4)</f>
        <v/>
      </c>
    </row>
    <row r="25" customFormat="false" ht="15" hidden="false" customHeight="true" outlineLevel="0" collapsed="false">
      <c r="A25" s="19" t="str">
        <f aca="false">IF($A13="","",A13)</f>
        <v/>
      </c>
      <c r="B25" s="20" t="str">
        <f aca="false">IF($A13="","",B13*B$4)</f>
        <v/>
      </c>
      <c r="C25" s="20" t="str">
        <f aca="false">IF($A13="","",C13*C$4)</f>
        <v/>
      </c>
      <c r="D25" s="20" t="str">
        <f aca="false">IF($A13="","",D13*D$4)</f>
        <v/>
      </c>
      <c r="E25" s="20" t="str">
        <f aca="false">IF($A13="","",E13*E$4)</f>
        <v/>
      </c>
      <c r="F25" s="20" t="str">
        <f aca="false">IF($A13="","",F13*F$4)</f>
        <v/>
      </c>
    </row>
    <row r="27" customFormat="false" ht="15" hidden="false" customHeight="false" outlineLevel="0" collapsed="false">
      <c r="A27" s="21" t="s">
        <v>19</v>
      </c>
      <c r="B27" s="21"/>
      <c r="C27" s="21"/>
      <c r="D27" s="21"/>
      <c r="E27" s="21"/>
      <c r="F27" s="21"/>
      <c r="G27" s="21"/>
      <c r="H27" s="21"/>
      <c r="I27" s="21"/>
    </row>
    <row r="28" customFormat="false" ht="15" hidden="false" customHeight="true" outlineLevel="0" collapsed="false">
      <c r="A28" s="22" t="s">
        <v>20</v>
      </c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true" outlineLevel="0" collapsed="false">
      <c r="A29" s="22" t="s">
        <v>21</v>
      </c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true" outlineLevel="0" collapsed="false">
      <c r="A30" s="22" t="s">
        <v>22</v>
      </c>
      <c r="B30" s="22"/>
      <c r="C30" s="22"/>
      <c r="D30" s="22"/>
      <c r="E30" s="22"/>
      <c r="F30" s="22"/>
      <c r="G30" s="22"/>
      <c r="H30" s="22"/>
      <c r="I30" s="22"/>
    </row>
    <row r="31" customFormat="false" ht="15" hidden="false" customHeight="true" outlineLevel="0" collapsed="false">
      <c r="A31" s="22" t="s">
        <v>23</v>
      </c>
      <c r="B31" s="22"/>
      <c r="C31" s="22"/>
      <c r="D31" s="22"/>
      <c r="E31" s="22"/>
      <c r="F31" s="22"/>
      <c r="G31" s="22"/>
      <c r="H31" s="22"/>
      <c r="I31" s="22"/>
    </row>
    <row r="32" customFormat="false" ht="15" hidden="false" customHeight="true" outlineLevel="0" collapsed="false">
      <c r="A32" s="22" t="s">
        <v>24</v>
      </c>
      <c r="B32" s="22"/>
      <c r="C32" s="22"/>
      <c r="D32" s="22"/>
      <c r="E32" s="22"/>
      <c r="F32" s="22"/>
      <c r="G32" s="22"/>
      <c r="H32" s="22"/>
      <c r="I32" s="22"/>
    </row>
    <row r="33" customFormat="false" ht="15" hidden="false" customHeight="true" outlineLevel="0" collapsed="false">
      <c r="A33" s="22" t="s">
        <v>25</v>
      </c>
      <c r="B33" s="22"/>
      <c r="C33" s="22"/>
      <c r="D33" s="22"/>
      <c r="E33" s="22"/>
      <c r="F33" s="22"/>
      <c r="G33" s="22"/>
      <c r="H33" s="22"/>
      <c r="I33" s="22"/>
    </row>
  </sheetData>
  <mergeCells count="11">
    <mergeCell ref="A1:I1"/>
    <mergeCell ref="A2:I2"/>
    <mergeCell ref="H4:I4"/>
    <mergeCell ref="A16:G16"/>
    <mergeCell ref="A27:I27"/>
    <mergeCell ref="A28:I28"/>
    <mergeCell ref="A29:I29"/>
    <mergeCell ref="A30:I30"/>
    <mergeCell ref="A31:I31"/>
    <mergeCell ref="A32:I32"/>
    <mergeCell ref="A33:I33"/>
  </mergeCells>
  <conditionalFormatting sqref="G4">
    <cfRule type="cellIs" priority="2" operator="notEqual" aboveAverage="0" equalAverage="0" bottom="0" percent="0" rank="0" text="" dxfId="0">
      <formula>1</formula>
    </cfRule>
  </conditionalFormatting>
  <conditionalFormatting sqref="I6:I13">
    <cfRule type="expression" priority="3" aboveAverage="0" equalAverage="0" bottom="0" percent="0" rank="0" text="" dxfId="0">
      <formula>$I6="Parked"</formula>
    </cfRule>
  </conditionalFormatting>
  <dataValidations count="2">
    <dataValidation allowBlank="true" error="Enter a whole number from 1 to 5." errorStyle="stop" errorTitle="Invalid score" operator="between" showDropDown="false" showErrorMessage="true" showInputMessage="false" sqref="B6:F13" type="whole">
      <formula1>1</formula1>
      <formula2>5</formula2>
    </dataValidation>
    <dataValidation allowBlank="false" error="Enter a weight between 0% and 100%." errorStyle="stop" errorTitle="Invalid weight" operator="between" showDropDown="false" showErrorMessage="true" showInputMessage="false" sqref="B4:F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2026-07-20T08:55:21Z</dcterms:created>
  <dc:creator>openpyxl</dc:creator>
  <dc:description/>
  <dc:language>en-US</dc:language>
  <cp:lastModifiedBy/>
  <dcterms:modified xsi:type="dcterms:W3CDTF">2026-07-20T08:55:30Z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